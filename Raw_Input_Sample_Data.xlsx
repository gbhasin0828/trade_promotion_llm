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8059503cfc48b/Desktop/trade_llm/"/>
    </mc:Choice>
  </mc:AlternateContent>
  <xr:revisionPtr revIDLastSave="0" documentId="8_{B9E7B255-BDB0-41CA-823E-C48CCF0406B7}" xr6:coauthVersionLast="47" xr6:coauthVersionMax="47" xr10:uidLastSave="{00000000-0000-0000-0000-000000000000}"/>
  <bookViews>
    <workbookView xWindow="1170" yWindow="1170" windowWidth="21600" windowHeight="12645" xr2:uid="{3013FF0F-0D20-9446-8465-09C2AEBBD3A5}"/>
  </bookViews>
  <sheets>
    <sheet name="Raw_Input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O2" i="1"/>
  <c r="P2" i="1" s="1"/>
  <c r="R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  <c r="O3" i="1"/>
  <c r="P3" i="1" s="1"/>
  <c r="Q3" i="1"/>
  <c r="O4" i="1"/>
  <c r="P4" i="1" s="1"/>
  <c r="Q4" i="1"/>
  <c r="O5" i="1"/>
  <c r="P5" i="1" s="1"/>
  <c r="Q5" i="1"/>
  <c r="O6" i="1"/>
  <c r="P6" i="1" s="1"/>
  <c r="Q6" i="1"/>
  <c r="O7" i="1"/>
  <c r="P7" i="1" s="1"/>
  <c r="Q7" i="1"/>
  <c r="O8" i="1"/>
  <c r="P8" i="1" s="1"/>
  <c r="Q8" i="1"/>
  <c r="O9" i="1"/>
  <c r="P9" i="1" s="1"/>
  <c r="Q9" i="1"/>
  <c r="O10" i="1"/>
  <c r="P10" i="1" s="1"/>
  <c r="Q10" i="1"/>
  <c r="O11" i="1"/>
  <c r="P11" i="1" s="1"/>
  <c r="Q11" i="1"/>
  <c r="O12" i="1"/>
  <c r="P12" i="1" s="1"/>
  <c r="Q12" i="1"/>
  <c r="O13" i="1"/>
  <c r="P13" i="1" s="1"/>
  <c r="Q13" i="1"/>
  <c r="O14" i="1"/>
  <c r="P14" i="1" s="1"/>
  <c r="Q14" i="1"/>
  <c r="O15" i="1"/>
  <c r="P15" i="1" s="1"/>
  <c r="Q15" i="1"/>
  <c r="O16" i="1"/>
  <c r="P16" i="1" s="1"/>
  <c r="Q16" i="1"/>
  <c r="O17" i="1"/>
  <c r="P17" i="1" s="1"/>
  <c r="Q17" i="1"/>
  <c r="O18" i="1"/>
  <c r="P18" i="1" s="1"/>
  <c r="Q18" i="1"/>
  <c r="O19" i="1"/>
  <c r="P19" i="1" s="1"/>
  <c r="Q19" i="1"/>
  <c r="O20" i="1"/>
  <c r="P20" i="1" s="1"/>
  <c r="Q20" i="1"/>
  <c r="R3" i="1" l="1"/>
  <c r="R16" i="1"/>
  <c r="R14" i="1"/>
  <c r="S14" i="1" s="1"/>
  <c r="R10" i="1"/>
  <c r="R20" i="1"/>
  <c r="S20" i="1" s="1"/>
  <c r="R8" i="1"/>
  <c r="S8" i="1" s="1"/>
  <c r="R18" i="1"/>
  <c r="S18" i="1" s="1"/>
  <c r="R12" i="1"/>
  <c r="S12" i="1" s="1"/>
  <c r="R6" i="1"/>
  <c r="S6" i="1" s="1"/>
  <c r="R5" i="1"/>
  <c r="S5" i="1" s="1"/>
  <c r="R15" i="1"/>
  <c r="S15" i="1" s="1"/>
  <c r="R19" i="1"/>
  <c r="S19" i="1" s="1"/>
  <c r="R13" i="1"/>
  <c r="S13" i="1" s="1"/>
  <c r="R7" i="1"/>
  <c r="S7" i="1" s="1"/>
  <c r="R17" i="1"/>
  <c r="S17" i="1" s="1"/>
  <c r="R11" i="1"/>
  <c r="S11" i="1" s="1"/>
  <c r="R4" i="1"/>
  <c r="S4" i="1" s="1"/>
  <c r="R9" i="1"/>
  <c r="S9" i="1" s="1"/>
  <c r="S10" i="1"/>
  <c r="S16" i="1"/>
  <c r="S3" i="1"/>
  <c r="S2" i="1"/>
  <c r="T20" i="1" l="1"/>
  <c r="T16" i="1"/>
  <c r="T17" i="1"/>
  <c r="T7" i="1"/>
  <c r="T4" i="1"/>
  <c r="T3" i="1"/>
  <c r="T8" i="1"/>
  <c r="T19" i="1"/>
  <c r="T9" i="1"/>
  <c r="T15" i="1"/>
  <c r="T13" i="1"/>
  <c r="T10" i="1"/>
  <c r="T5" i="1"/>
  <c r="T14" i="1"/>
  <c r="T11" i="1"/>
  <c r="T2" i="1"/>
  <c r="T6" i="1"/>
  <c r="T18" i="1"/>
  <c r="T12" i="1"/>
</calcChain>
</file>

<file path=xl/sharedStrings.xml><?xml version="1.0" encoding="utf-8"?>
<sst xmlns="http://schemas.openxmlformats.org/spreadsheetml/2006/main" count="170" uniqueCount="52">
  <si>
    <t>Index</t>
  </si>
  <si>
    <t>Time</t>
  </si>
  <si>
    <t>Month</t>
  </si>
  <si>
    <t>Units</t>
  </si>
  <si>
    <t>Base_Price</t>
  </si>
  <si>
    <t>Customer</t>
  </si>
  <si>
    <t>Item</t>
  </si>
  <si>
    <t>Week_Type</t>
  </si>
  <si>
    <t>Promo_Type</t>
  </si>
  <si>
    <t>Merch</t>
  </si>
  <si>
    <t>2022-Jan-Wk1</t>
  </si>
  <si>
    <t>Jan</t>
  </si>
  <si>
    <t>Discount</t>
  </si>
  <si>
    <t>Item_177</t>
  </si>
  <si>
    <t>Promo</t>
  </si>
  <si>
    <t>Single</t>
  </si>
  <si>
    <t>ISF_&amp;_Flyer</t>
  </si>
  <si>
    <t>2022-Jan-Wk2</t>
  </si>
  <si>
    <t>Base</t>
  </si>
  <si>
    <t>No_Promo</t>
  </si>
  <si>
    <t>2022-Jan-Wk3</t>
  </si>
  <si>
    <t>2022-Jan-Wk4</t>
  </si>
  <si>
    <t>Mar</t>
  </si>
  <si>
    <t>May</t>
  </si>
  <si>
    <t>2022-May-Wk20</t>
  </si>
  <si>
    <t>ISF_Only</t>
  </si>
  <si>
    <t>2022-May-Wk21</t>
  </si>
  <si>
    <t>2022-Jun-Wk22</t>
  </si>
  <si>
    <t>Jun</t>
  </si>
  <si>
    <t>2022-Jun-Wk23</t>
  </si>
  <si>
    <t>2022-Jun-Wk24</t>
  </si>
  <si>
    <t>2022-Jun-Wk25</t>
  </si>
  <si>
    <t>2022-Jun-Wk26</t>
  </si>
  <si>
    <t>2022-Aug-Wk31</t>
  </si>
  <si>
    <t>Aug</t>
  </si>
  <si>
    <t>2022-Aug-Wk32</t>
  </si>
  <si>
    <t>ISF_&amp;_Ad</t>
  </si>
  <si>
    <t>2023-Mar-Wk9</t>
  </si>
  <si>
    <t>2023-Mar-Wk10</t>
  </si>
  <si>
    <t>2023-Mar-Wk11</t>
  </si>
  <si>
    <t>Full_Service</t>
  </si>
  <si>
    <t>Market</t>
  </si>
  <si>
    <t>List_Price</t>
  </si>
  <si>
    <t>Var_Trade_$_Unit</t>
  </si>
  <si>
    <t>$_Trade_Unit</t>
  </si>
  <si>
    <t>%_Trade_Rate</t>
  </si>
  <si>
    <t>COGS_Unit</t>
  </si>
  <si>
    <t>Retailer_Margin_%</t>
  </si>
  <si>
    <t>Retailer_Base_$_Margin</t>
  </si>
  <si>
    <t>Retailer_$_Margin</t>
  </si>
  <si>
    <t>Base_Trade_$_Unit</t>
  </si>
  <si>
    <t>Actual_Price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</si>
</sst>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7304-AA75-8A49-B317-39FEDBE25575}">
  <dimension ref="A1:T20"/>
  <sheetViews>
    <sheetView tabSelected="1" topLeftCell="G1" workbookViewId="0">
      <selection activeCell="K27" sqref="K27"/>
    </sheetView>
  </sheetViews>
  <sheetFormatPr defaultColWidth="11" defaultRowHeight="15.75" x14ac:dyDescent="0.25"/>
  <cols>
    <col min="1" max="1" width="10.125" bestFit="1" customWidth="1"/>
    <col min="2" max="2" width="14.375" bestFit="1" customWidth="1"/>
    <col min="3" max="3" width="6.375" bestFit="1" customWidth="1"/>
    <col min="4" max="4" width="12.125" bestFit="1" customWidth="1"/>
    <col min="5" max="5" width="10.25" bestFit="1" customWidth="1"/>
    <col min="6" max="6" width="7.125" style="1" bestFit="1" customWidth="1"/>
    <col min="7" max="7" width="13.125" bestFit="1" customWidth="1"/>
    <col min="8" max="8" width="8.625" bestFit="1" customWidth="1"/>
    <col min="9" max="9" width="10.125" bestFit="1" customWidth="1"/>
    <col min="11" max="11" width="15.375" bestFit="1" customWidth="1"/>
    <col min="12" max="12" width="9.125" bestFit="1" customWidth="1"/>
    <col min="13" max="13" width="9" customWidth="1"/>
    <col min="14" max="14" width="9.125" bestFit="1" customWidth="1"/>
    <col min="15" max="15" width="14.75" style="1" bestFit="1" customWidth="1"/>
    <col min="16" max="16" width="18.25" style="1" bestFit="1" customWidth="1"/>
    <col min="17" max="17" width="10" style="1" bestFit="1" customWidth="1"/>
    <col min="18" max="18" width="16.75" bestFit="1" customWidth="1"/>
    <col min="19" max="19" width="11.125" bestFit="1" customWidth="1"/>
    <col min="20" max="20" width="14.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42</v>
      </c>
      <c r="M1" t="s">
        <v>46</v>
      </c>
      <c r="N1" t="s">
        <v>47</v>
      </c>
      <c r="O1" s="1" t="s">
        <v>48</v>
      </c>
      <c r="P1" s="1" t="s">
        <v>50</v>
      </c>
      <c r="Q1" s="1" t="s">
        <v>49</v>
      </c>
      <c r="R1" s="1" t="s">
        <v>43</v>
      </c>
      <c r="S1" s="1" t="s">
        <v>44</v>
      </c>
      <c r="T1" s="1" t="s">
        <v>45</v>
      </c>
    </row>
    <row r="2" spans="1:20" x14ac:dyDescent="0.25">
      <c r="A2">
        <v>1</v>
      </c>
      <c r="B2" t="s">
        <v>10</v>
      </c>
      <c r="C2" t="s">
        <v>11</v>
      </c>
      <c r="D2">
        <v>3187</v>
      </c>
      <c r="E2">
        <v>3.99</v>
      </c>
      <c r="F2" s="1">
        <v>2.986187637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>
        <v>3.49</v>
      </c>
      <c r="M2" s="1">
        <f>L2*0.5</f>
        <v>1.7450000000000001</v>
      </c>
      <c r="N2">
        <v>0.25</v>
      </c>
      <c r="O2" s="1">
        <f>E2*N2</f>
        <v>0.99750000000000005</v>
      </c>
      <c r="P2" s="1">
        <f>IF((O2-(E2-L2))&gt;0,(O2-(E2-L2)),0)</f>
        <v>0.49750000000000005</v>
      </c>
      <c r="Q2" s="1">
        <f>F2*N2</f>
        <v>0.74654690925</v>
      </c>
      <c r="R2" s="1">
        <f t="shared" ref="R2:R10" si="0">IF((Q2-(F2-L2+P2))&gt;0,(Q2-(F2-L2+P2)),0)</f>
        <v>0.75285927225000016</v>
      </c>
      <c r="S2" s="2">
        <f t="shared" ref="S2:S10" si="1">P2+R2</f>
        <v>1.2503592722500003</v>
      </c>
      <c r="T2" s="2">
        <f t="shared" ref="T2:T10" si="2">S2/L2</f>
        <v>0.35826913244985681</v>
      </c>
    </row>
    <row r="3" spans="1:20" x14ac:dyDescent="0.25">
      <c r="A3">
        <v>2</v>
      </c>
      <c r="B3" t="s">
        <v>17</v>
      </c>
      <c r="C3" t="s">
        <v>11</v>
      </c>
      <c r="D3">
        <v>933</v>
      </c>
      <c r="E3">
        <v>3.99</v>
      </c>
      <c r="F3" s="1">
        <v>3.907834941</v>
      </c>
      <c r="G3" t="s">
        <v>12</v>
      </c>
      <c r="H3" t="s">
        <v>13</v>
      </c>
      <c r="I3" t="s">
        <v>18</v>
      </c>
      <c r="J3" t="s">
        <v>19</v>
      </c>
      <c r="K3" t="s">
        <v>19</v>
      </c>
      <c r="L3">
        <v>3.49</v>
      </c>
      <c r="M3" s="1">
        <f t="shared" ref="M3:M10" si="3">L3*0.5</f>
        <v>1.7450000000000001</v>
      </c>
      <c r="N3">
        <v>0.25</v>
      </c>
      <c r="O3" s="1">
        <f t="shared" ref="O3:O10" si="4">E3*N3</f>
        <v>0.99750000000000005</v>
      </c>
      <c r="P3" s="1">
        <f t="shared" ref="P3:P10" si="5">IF((O3-(E3-L3))&gt;0,(O3-(E3-L3)),0)</f>
        <v>0.49750000000000005</v>
      </c>
      <c r="Q3" s="1">
        <f t="shared" ref="Q3:Q10" si="6">F3*N3</f>
        <v>0.97695873524999999</v>
      </c>
      <c r="R3" s="1">
        <f t="shared" si="0"/>
        <v>6.1623794250000197E-2</v>
      </c>
      <c r="S3" s="2">
        <f t="shared" si="1"/>
        <v>0.55912379425000025</v>
      </c>
      <c r="T3" s="2">
        <f t="shared" si="2"/>
        <v>0.16020739090257885</v>
      </c>
    </row>
    <row r="4" spans="1:20" x14ac:dyDescent="0.25">
      <c r="A4">
        <v>3</v>
      </c>
      <c r="B4" t="s">
        <v>20</v>
      </c>
      <c r="C4" t="s">
        <v>11</v>
      </c>
      <c r="D4">
        <v>1150</v>
      </c>
      <c r="E4">
        <v>3.99</v>
      </c>
      <c r="F4" s="1">
        <v>3.9602956520000001</v>
      </c>
      <c r="G4" t="s">
        <v>12</v>
      </c>
      <c r="H4" t="s">
        <v>13</v>
      </c>
      <c r="I4" t="s">
        <v>18</v>
      </c>
      <c r="J4" t="s">
        <v>19</v>
      </c>
      <c r="K4" t="s">
        <v>19</v>
      </c>
      <c r="L4">
        <v>3.49</v>
      </c>
      <c r="M4" s="1">
        <f t="shared" si="3"/>
        <v>1.7450000000000001</v>
      </c>
      <c r="N4">
        <v>0.25</v>
      </c>
      <c r="O4" s="1">
        <f t="shared" si="4"/>
        <v>0.99750000000000005</v>
      </c>
      <c r="P4" s="1">
        <f t="shared" si="5"/>
        <v>0.49750000000000005</v>
      </c>
      <c r="Q4" s="1">
        <f t="shared" si="6"/>
        <v>0.99007391300000003</v>
      </c>
      <c r="R4" s="1">
        <f t="shared" si="0"/>
        <v>2.2278261000000077E-2</v>
      </c>
      <c r="S4" s="2">
        <f t="shared" si="1"/>
        <v>0.51977826100000013</v>
      </c>
      <c r="T4" s="2">
        <f t="shared" si="2"/>
        <v>0.14893359914040116</v>
      </c>
    </row>
    <row r="5" spans="1:20" x14ac:dyDescent="0.25">
      <c r="A5">
        <v>4</v>
      </c>
      <c r="B5" t="s">
        <v>21</v>
      </c>
      <c r="C5" t="s">
        <v>11</v>
      </c>
      <c r="D5">
        <v>969</v>
      </c>
      <c r="E5">
        <v>4.29</v>
      </c>
      <c r="F5" s="1">
        <v>4.2518059859999999</v>
      </c>
      <c r="G5" t="s">
        <v>12</v>
      </c>
      <c r="H5" t="s">
        <v>13</v>
      </c>
      <c r="I5" t="s">
        <v>18</v>
      </c>
      <c r="J5" t="s">
        <v>19</v>
      </c>
      <c r="K5" t="s">
        <v>19</v>
      </c>
      <c r="L5">
        <v>3.49</v>
      </c>
      <c r="M5" s="1">
        <f t="shared" si="3"/>
        <v>1.7450000000000001</v>
      </c>
      <c r="N5">
        <v>0.25</v>
      </c>
      <c r="O5" s="1">
        <f t="shared" si="4"/>
        <v>1.0725</v>
      </c>
      <c r="P5" s="1">
        <f t="shared" si="5"/>
        <v>0.27250000000000019</v>
      </c>
      <c r="Q5" s="1">
        <f t="shared" si="6"/>
        <v>1.0629514965</v>
      </c>
      <c r="R5" s="1">
        <f t="shared" si="0"/>
        <v>2.8645510500000082E-2</v>
      </c>
      <c r="S5" s="2">
        <f t="shared" si="1"/>
        <v>0.30114551050000027</v>
      </c>
      <c r="T5" s="2">
        <f t="shared" si="2"/>
        <v>8.6288111891117555E-2</v>
      </c>
    </row>
    <row r="6" spans="1:20" x14ac:dyDescent="0.25">
      <c r="A6">
        <v>20</v>
      </c>
      <c r="B6" t="s">
        <v>24</v>
      </c>
      <c r="C6" t="s">
        <v>23</v>
      </c>
      <c r="D6">
        <v>3095</v>
      </c>
      <c r="E6">
        <v>3.99</v>
      </c>
      <c r="F6" s="1">
        <v>3.4965945070000002</v>
      </c>
      <c r="G6" t="s">
        <v>12</v>
      </c>
      <c r="H6" t="s">
        <v>13</v>
      </c>
      <c r="I6" t="s">
        <v>14</v>
      </c>
      <c r="J6" t="s">
        <v>15</v>
      </c>
      <c r="K6" t="s">
        <v>25</v>
      </c>
      <c r="L6">
        <v>3.49</v>
      </c>
      <c r="M6" s="1">
        <f t="shared" si="3"/>
        <v>1.7450000000000001</v>
      </c>
      <c r="N6">
        <v>0.25</v>
      </c>
      <c r="O6" s="1">
        <f t="shared" si="4"/>
        <v>0.99750000000000005</v>
      </c>
      <c r="P6" s="1">
        <f t="shared" si="5"/>
        <v>0.49750000000000005</v>
      </c>
      <c r="Q6" s="1">
        <f t="shared" si="6"/>
        <v>0.87414862675000005</v>
      </c>
      <c r="R6" s="1">
        <f t="shared" si="0"/>
        <v>0.37005411975000002</v>
      </c>
      <c r="S6" s="2">
        <f t="shared" si="1"/>
        <v>0.86755411975000007</v>
      </c>
      <c r="T6" s="2">
        <f t="shared" si="2"/>
        <v>0.24858284233524355</v>
      </c>
    </row>
    <row r="7" spans="1:20" x14ac:dyDescent="0.25">
      <c r="A7">
        <v>21</v>
      </c>
      <c r="B7" t="s">
        <v>26</v>
      </c>
      <c r="C7" t="s">
        <v>23</v>
      </c>
      <c r="D7">
        <v>2562</v>
      </c>
      <c r="E7">
        <v>3.99</v>
      </c>
      <c r="F7" s="1">
        <v>3.4678181110000001</v>
      </c>
      <c r="G7" t="s">
        <v>12</v>
      </c>
      <c r="H7" t="s">
        <v>13</v>
      </c>
      <c r="I7" t="s">
        <v>14</v>
      </c>
      <c r="J7" t="s">
        <v>15</v>
      </c>
      <c r="K7" t="s">
        <v>25</v>
      </c>
      <c r="L7">
        <v>3.49</v>
      </c>
      <c r="M7" s="1">
        <f t="shared" si="3"/>
        <v>1.7450000000000001</v>
      </c>
      <c r="N7">
        <v>0.25</v>
      </c>
      <c r="O7" s="1">
        <f t="shared" si="4"/>
        <v>0.99750000000000005</v>
      </c>
      <c r="P7" s="1">
        <f t="shared" si="5"/>
        <v>0.49750000000000005</v>
      </c>
      <c r="Q7" s="1">
        <f t="shared" si="6"/>
        <v>0.86695452775000004</v>
      </c>
      <c r="R7" s="1">
        <f t="shared" si="0"/>
        <v>0.39163641675000005</v>
      </c>
      <c r="S7" s="2">
        <f t="shared" si="1"/>
        <v>0.8891364167500001</v>
      </c>
      <c r="T7" s="2">
        <f t="shared" si="2"/>
        <v>0.2547668815902579</v>
      </c>
    </row>
    <row r="8" spans="1:20" x14ac:dyDescent="0.25">
      <c r="A8">
        <v>22</v>
      </c>
      <c r="B8" t="s">
        <v>27</v>
      </c>
      <c r="C8" t="s">
        <v>28</v>
      </c>
      <c r="D8">
        <v>2554</v>
      </c>
      <c r="E8">
        <v>3.99</v>
      </c>
      <c r="F8" s="1">
        <v>3.4986609240000002</v>
      </c>
      <c r="G8" t="s">
        <v>12</v>
      </c>
      <c r="H8" t="s">
        <v>13</v>
      </c>
      <c r="I8" t="s">
        <v>14</v>
      </c>
      <c r="J8" t="s">
        <v>15</v>
      </c>
      <c r="K8" t="s">
        <v>25</v>
      </c>
      <c r="L8">
        <v>3.49</v>
      </c>
      <c r="M8" s="1">
        <f t="shared" si="3"/>
        <v>1.7450000000000001</v>
      </c>
      <c r="N8">
        <v>0.25</v>
      </c>
      <c r="O8" s="1">
        <f t="shared" si="4"/>
        <v>0.99750000000000005</v>
      </c>
      <c r="P8" s="1">
        <f t="shared" si="5"/>
        <v>0.49750000000000005</v>
      </c>
      <c r="Q8" s="1">
        <f t="shared" si="6"/>
        <v>0.87466523100000004</v>
      </c>
      <c r="R8" s="1">
        <f t="shared" si="0"/>
        <v>0.36850430700000003</v>
      </c>
      <c r="S8" s="2">
        <f t="shared" si="1"/>
        <v>0.86600430700000008</v>
      </c>
      <c r="T8" s="2">
        <f t="shared" si="2"/>
        <v>0.24813876991404013</v>
      </c>
    </row>
    <row r="9" spans="1:20" x14ac:dyDescent="0.25">
      <c r="A9">
        <v>31</v>
      </c>
      <c r="B9" t="s">
        <v>33</v>
      </c>
      <c r="C9" t="s">
        <v>34</v>
      </c>
      <c r="D9">
        <v>3184</v>
      </c>
      <c r="E9">
        <v>3.99</v>
      </c>
      <c r="F9" s="1">
        <v>3.4673272609999999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>
        <v>3.49</v>
      </c>
      <c r="M9" s="1">
        <f t="shared" si="3"/>
        <v>1.7450000000000001</v>
      </c>
      <c r="N9">
        <v>0.25</v>
      </c>
      <c r="O9" s="1">
        <f t="shared" si="4"/>
        <v>0.99750000000000005</v>
      </c>
      <c r="P9" s="1">
        <f t="shared" si="5"/>
        <v>0.49750000000000005</v>
      </c>
      <c r="Q9" s="1">
        <f t="shared" si="6"/>
        <v>0.86683181524999997</v>
      </c>
      <c r="R9" s="1">
        <f t="shared" si="0"/>
        <v>0.39200455425000025</v>
      </c>
      <c r="S9" s="2">
        <f t="shared" si="1"/>
        <v>0.8895045542500003</v>
      </c>
      <c r="T9" s="2">
        <f t="shared" si="2"/>
        <v>0.25487236511461325</v>
      </c>
    </row>
    <row r="10" spans="1:20" x14ac:dyDescent="0.25">
      <c r="A10">
        <v>32</v>
      </c>
      <c r="B10" t="s">
        <v>35</v>
      </c>
      <c r="C10" t="s">
        <v>34</v>
      </c>
      <c r="D10">
        <v>2838</v>
      </c>
      <c r="E10">
        <v>3.99</v>
      </c>
      <c r="F10" s="1">
        <v>3.501381254</v>
      </c>
      <c r="G10" t="s">
        <v>12</v>
      </c>
      <c r="H10" t="s">
        <v>13</v>
      </c>
      <c r="I10" t="s">
        <v>14</v>
      </c>
      <c r="J10" t="s">
        <v>15</v>
      </c>
      <c r="K10" t="s">
        <v>16</v>
      </c>
      <c r="L10">
        <v>3.49</v>
      </c>
      <c r="M10" s="1">
        <f t="shared" si="3"/>
        <v>1.7450000000000001</v>
      </c>
      <c r="N10">
        <v>0.25</v>
      </c>
      <c r="O10" s="1">
        <f t="shared" si="4"/>
        <v>0.99750000000000005</v>
      </c>
      <c r="P10" s="1">
        <f t="shared" si="5"/>
        <v>0.49750000000000005</v>
      </c>
      <c r="Q10" s="1">
        <f t="shared" si="6"/>
        <v>0.8753453135</v>
      </c>
      <c r="R10" s="1">
        <f t="shared" si="0"/>
        <v>0.36646405950000016</v>
      </c>
      <c r="S10" s="2">
        <f t="shared" si="1"/>
        <v>0.86396405950000021</v>
      </c>
      <c r="T10" s="2">
        <f t="shared" si="2"/>
        <v>0.24755417177650435</v>
      </c>
    </row>
    <row r="11" spans="1:20" x14ac:dyDescent="0.25">
      <c r="A11">
        <v>171</v>
      </c>
      <c r="B11" t="s">
        <v>37</v>
      </c>
      <c r="C11" t="s">
        <v>22</v>
      </c>
      <c r="D11">
        <v>4134</v>
      </c>
      <c r="E11">
        <v>5.39</v>
      </c>
      <c r="F11" s="1">
        <v>5.3596226419999997</v>
      </c>
      <c r="G11" t="s">
        <v>40</v>
      </c>
      <c r="H11" t="s">
        <v>13</v>
      </c>
      <c r="I11" t="s">
        <v>18</v>
      </c>
      <c r="J11" t="s">
        <v>19</v>
      </c>
      <c r="K11" t="s">
        <v>19</v>
      </c>
      <c r="L11">
        <v>3.49</v>
      </c>
      <c r="M11" s="1">
        <f t="shared" ref="M11:M13" si="7">L11*0.5</f>
        <v>1.7450000000000001</v>
      </c>
      <c r="N11">
        <v>0.25</v>
      </c>
      <c r="O11" s="1">
        <f t="shared" ref="O11:O13" si="8">E11*N11</f>
        <v>1.3474999999999999</v>
      </c>
      <c r="P11" s="1">
        <f t="shared" ref="P11:P13" si="9">IF((O11-(E11-L11))&gt;0,(O11-(E11-L11)),0)</f>
        <v>0</v>
      </c>
      <c r="Q11" s="1">
        <f t="shared" ref="Q11:Q13" si="10">F11*N11</f>
        <v>1.3399056604999999</v>
      </c>
      <c r="R11" s="1">
        <f t="shared" ref="R11:R13" si="11">IF((Q11-(F11-L11+P11))&gt;0,(Q11-(F11-L11+P11)),0)</f>
        <v>0</v>
      </c>
      <c r="S11" s="2">
        <f t="shared" ref="S11:S13" si="12">P11+R11</f>
        <v>0</v>
      </c>
      <c r="T11" s="2">
        <f t="shared" ref="T11:T13" si="13">S11/L11</f>
        <v>0</v>
      </c>
    </row>
    <row r="12" spans="1:20" x14ac:dyDescent="0.25">
      <c r="A12">
        <v>172</v>
      </c>
      <c r="B12" t="s">
        <v>38</v>
      </c>
      <c r="C12" t="s">
        <v>22</v>
      </c>
      <c r="D12">
        <v>4308</v>
      </c>
      <c r="E12">
        <v>5.39</v>
      </c>
      <c r="F12" s="1">
        <v>5.4187441969999997</v>
      </c>
      <c r="G12" t="s">
        <v>40</v>
      </c>
      <c r="H12" t="s">
        <v>13</v>
      </c>
      <c r="I12" t="s">
        <v>18</v>
      </c>
      <c r="J12" t="s">
        <v>19</v>
      </c>
      <c r="K12" t="s">
        <v>19</v>
      </c>
      <c r="L12">
        <v>3.49</v>
      </c>
      <c r="M12" s="1">
        <f t="shared" si="7"/>
        <v>1.7450000000000001</v>
      </c>
      <c r="N12">
        <v>0.25</v>
      </c>
      <c r="O12" s="1">
        <f t="shared" si="8"/>
        <v>1.3474999999999999</v>
      </c>
      <c r="P12" s="1">
        <f t="shared" si="9"/>
        <v>0</v>
      </c>
      <c r="Q12" s="1">
        <f t="shared" si="10"/>
        <v>1.3546860492499999</v>
      </c>
      <c r="R12" s="1">
        <f t="shared" si="11"/>
        <v>0</v>
      </c>
      <c r="S12" s="2">
        <f t="shared" si="12"/>
        <v>0</v>
      </c>
      <c r="T12" s="2">
        <f t="shared" si="13"/>
        <v>0</v>
      </c>
    </row>
    <row r="13" spans="1:20" x14ac:dyDescent="0.25">
      <c r="A13">
        <v>173</v>
      </c>
      <c r="B13" t="s">
        <v>39</v>
      </c>
      <c r="C13" t="s">
        <v>22</v>
      </c>
      <c r="D13">
        <v>3663</v>
      </c>
      <c r="E13">
        <v>5.39</v>
      </c>
      <c r="F13" s="1">
        <v>5.4195905</v>
      </c>
      <c r="G13" t="s">
        <v>40</v>
      </c>
      <c r="H13" t="s">
        <v>13</v>
      </c>
      <c r="I13" t="s">
        <v>18</v>
      </c>
      <c r="J13" t="s">
        <v>19</v>
      </c>
      <c r="K13" t="s">
        <v>19</v>
      </c>
      <c r="L13">
        <v>3.49</v>
      </c>
      <c r="M13" s="1">
        <f t="shared" si="7"/>
        <v>1.7450000000000001</v>
      </c>
      <c r="N13">
        <v>0.25</v>
      </c>
      <c r="O13" s="1">
        <f t="shared" si="8"/>
        <v>1.3474999999999999</v>
      </c>
      <c r="P13" s="1">
        <f t="shared" si="9"/>
        <v>0</v>
      </c>
      <c r="Q13" s="1">
        <f t="shared" si="10"/>
        <v>1.354897625</v>
      </c>
      <c r="R13" s="1">
        <f t="shared" si="11"/>
        <v>0</v>
      </c>
      <c r="S13" s="2">
        <f t="shared" si="12"/>
        <v>0</v>
      </c>
      <c r="T13" s="2">
        <f t="shared" si="13"/>
        <v>0</v>
      </c>
    </row>
    <row r="14" spans="1:20" x14ac:dyDescent="0.25">
      <c r="A14">
        <v>240</v>
      </c>
      <c r="B14" t="s">
        <v>24</v>
      </c>
      <c r="C14" t="s">
        <v>23</v>
      </c>
      <c r="D14">
        <v>5266</v>
      </c>
      <c r="E14">
        <v>4.79</v>
      </c>
      <c r="F14" s="1">
        <v>4.8003797949999996</v>
      </c>
      <c r="G14" t="s">
        <v>41</v>
      </c>
      <c r="H14" t="s">
        <v>13</v>
      </c>
      <c r="I14" t="s">
        <v>18</v>
      </c>
      <c r="J14" t="s">
        <v>19</v>
      </c>
      <c r="K14" t="s">
        <v>19</v>
      </c>
      <c r="L14">
        <v>3.49</v>
      </c>
      <c r="M14" s="1">
        <f t="shared" ref="M14:M20" si="14">L14*0.5</f>
        <v>1.7450000000000001</v>
      </c>
      <c r="N14">
        <v>0.25</v>
      </c>
      <c r="O14" s="1">
        <f t="shared" ref="O14:O20" si="15">E14*N14</f>
        <v>1.1975</v>
      </c>
      <c r="P14" s="1">
        <f t="shared" ref="P14:P20" si="16">IF((O14-(E14-L14))&gt;0,(O14-(E14-L14)),0)</f>
        <v>0</v>
      </c>
      <c r="Q14" s="1">
        <f t="shared" ref="Q14:Q20" si="17">F14*N14</f>
        <v>1.2000949487499999</v>
      </c>
      <c r="R14" s="1">
        <f t="shared" ref="R14:R20" si="18">IF((Q14-(F14-L14+P14))&gt;0,(Q14-(F14-L14+P14)),0)</f>
        <v>0</v>
      </c>
      <c r="S14" s="2">
        <f t="shared" ref="S14:S20" si="19">P14+R14</f>
        <v>0</v>
      </c>
      <c r="T14" s="2">
        <f t="shared" ref="T14:T20" si="20">S14/L14</f>
        <v>0</v>
      </c>
    </row>
    <row r="15" spans="1:20" x14ac:dyDescent="0.25">
      <c r="A15">
        <v>241</v>
      </c>
      <c r="B15" t="s">
        <v>26</v>
      </c>
      <c r="C15" t="s">
        <v>23</v>
      </c>
      <c r="D15">
        <v>9834</v>
      </c>
      <c r="E15">
        <v>4.79</v>
      </c>
      <c r="F15" s="1">
        <v>3.3718700429999999</v>
      </c>
      <c r="G15" t="s">
        <v>41</v>
      </c>
      <c r="H15" t="s">
        <v>13</v>
      </c>
      <c r="I15" t="s">
        <v>14</v>
      </c>
      <c r="J15" t="s">
        <v>15</v>
      </c>
      <c r="K15" t="s">
        <v>36</v>
      </c>
      <c r="L15">
        <v>3.49</v>
      </c>
      <c r="M15" s="1">
        <f t="shared" si="14"/>
        <v>1.7450000000000001</v>
      </c>
      <c r="N15">
        <v>0.25</v>
      </c>
      <c r="O15" s="1">
        <f t="shared" si="15"/>
        <v>1.1975</v>
      </c>
      <c r="P15" s="1">
        <f t="shared" si="16"/>
        <v>0</v>
      </c>
      <c r="Q15" s="1">
        <f t="shared" si="17"/>
        <v>0.84296751074999998</v>
      </c>
      <c r="R15" s="1">
        <f t="shared" si="18"/>
        <v>0.96109746775000027</v>
      </c>
      <c r="S15" s="2">
        <f t="shared" si="19"/>
        <v>0.96109746775000027</v>
      </c>
      <c r="T15" s="2">
        <f t="shared" si="20"/>
        <v>0.27538609391117486</v>
      </c>
    </row>
    <row r="16" spans="1:20" x14ac:dyDescent="0.25">
      <c r="A16">
        <v>242</v>
      </c>
      <c r="B16" t="s">
        <v>27</v>
      </c>
      <c r="C16" t="s">
        <v>28</v>
      </c>
      <c r="D16">
        <v>7760</v>
      </c>
      <c r="E16">
        <v>4.79</v>
      </c>
      <c r="F16" s="1">
        <v>3.785170103</v>
      </c>
      <c r="G16" t="s">
        <v>41</v>
      </c>
      <c r="H16" t="s">
        <v>13</v>
      </c>
      <c r="I16" t="s">
        <v>14</v>
      </c>
      <c r="J16" t="s">
        <v>15</v>
      </c>
      <c r="K16" t="s">
        <v>36</v>
      </c>
      <c r="L16">
        <v>3.49</v>
      </c>
      <c r="M16" s="1">
        <f t="shared" si="14"/>
        <v>1.7450000000000001</v>
      </c>
      <c r="N16">
        <v>0.25</v>
      </c>
      <c r="O16" s="1">
        <f t="shared" si="15"/>
        <v>1.1975</v>
      </c>
      <c r="P16" s="1">
        <f t="shared" si="16"/>
        <v>0</v>
      </c>
      <c r="Q16" s="1">
        <f t="shared" si="17"/>
        <v>0.94629252575</v>
      </c>
      <c r="R16" s="1">
        <f t="shared" si="18"/>
        <v>0.65112242275000021</v>
      </c>
      <c r="S16" s="2">
        <f t="shared" si="19"/>
        <v>0.65112242275000021</v>
      </c>
      <c r="T16" s="2">
        <f t="shared" si="20"/>
        <v>0.1865680294412608</v>
      </c>
    </row>
    <row r="17" spans="1:20" x14ac:dyDescent="0.25">
      <c r="A17">
        <v>243</v>
      </c>
      <c r="B17" t="s">
        <v>29</v>
      </c>
      <c r="C17" t="s">
        <v>28</v>
      </c>
      <c r="D17">
        <v>7458</v>
      </c>
      <c r="E17">
        <v>4.79</v>
      </c>
      <c r="F17" s="1">
        <v>3.7862523459999999</v>
      </c>
      <c r="G17" t="s">
        <v>41</v>
      </c>
      <c r="H17" t="s">
        <v>13</v>
      </c>
      <c r="I17" t="s">
        <v>14</v>
      </c>
      <c r="J17" t="s">
        <v>15</v>
      </c>
      <c r="K17" t="s">
        <v>36</v>
      </c>
      <c r="L17">
        <v>3.49</v>
      </c>
      <c r="M17" s="1">
        <f t="shared" si="14"/>
        <v>1.7450000000000001</v>
      </c>
      <c r="N17">
        <v>0.25</v>
      </c>
      <c r="O17" s="1">
        <f t="shared" si="15"/>
        <v>1.1975</v>
      </c>
      <c r="P17" s="1">
        <f t="shared" si="16"/>
        <v>0</v>
      </c>
      <c r="Q17" s="1">
        <f t="shared" si="17"/>
        <v>0.94656308649999998</v>
      </c>
      <c r="R17" s="1">
        <f t="shared" si="18"/>
        <v>0.65031074050000026</v>
      </c>
      <c r="S17" s="2">
        <f t="shared" si="19"/>
        <v>0.65031074050000026</v>
      </c>
      <c r="T17" s="2">
        <f t="shared" si="20"/>
        <v>0.1863354557306591</v>
      </c>
    </row>
    <row r="18" spans="1:20" x14ac:dyDescent="0.25">
      <c r="A18">
        <v>244</v>
      </c>
      <c r="B18" t="s">
        <v>30</v>
      </c>
      <c r="C18" t="s">
        <v>28</v>
      </c>
      <c r="D18">
        <v>9685</v>
      </c>
      <c r="E18">
        <v>4.79</v>
      </c>
      <c r="F18" s="1">
        <v>3.3026711409999998</v>
      </c>
      <c r="G18" t="s">
        <v>41</v>
      </c>
      <c r="H18" t="s">
        <v>13</v>
      </c>
      <c r="I18" t="s">
        <v>14</v>
      </c>
      <c r="J18" t="s">
        <v>15</v>
      </c>
      <c r="K18" t="s">
        <v>36</v>
      </c>
      <c r="L18">
        <v>3.49</v>
      </c>
      <c r="M18" s="1">
        <f t="shared" si="14"/>
        <v>1.7450000000000001</v>
      </c>
      <c r="N18">
        <v>0.25</v>
      </c>
      <c r="O18" s="1">
        <f t="shared" si="15"/>
        <v>1.1975</v>
      </c>
      <c r="P18" s="1">
        <f t="shared" si="16"/>
        <v>0</v>
      </c>
      <c r="Q18" s="1">
        <f t="shared" si="17"/>
        <v>0.82566778524999995</v>
      </c>
      <c r="R18" s="1">
        <f t="shared" si="18"/>
        <v>1.0129966442500002</v>
      </c>
      <c r="S18" s="2">
        <f t="shared" si="19"/>
        <v>1.0129966442500002</v>
      </c>
      <c r="T18" s="2">
        <f t="shared" si="20"/>
        <v>0.2902569181232092</v>
      </c>
    </row>
    <row r="19" spans="1:20" x14ac:dyDescent="0.25">
      <c r="A19">
        <v>245</v>
      </c>
      <c r="B19" t="s">
        <v>31</v>
      </c>
      <c r="C19" t="s">
        <v>28</v>
      </c>
      <c r="D19">
        <v>6997</v>
      </c>
      <c r="E19">
        <v>4.79</v>
      </c>
      <c r="F19" s="1">
        <v>3.7896384159999998</v>
      </c>
      <c r="G19" t="s">
        <v>41</v>
      </c>
      <c r="H19" t="s">
        <v>13</v>
      </c>
      <c r="I19" t="s">
        <v>14</v>
      </c>
      <c r="J19" t="s">
        <v>15</v>
      </c>
      <c r="K19" t="s">
        <v>36</v>
      </c>
      <c r="L19">
        <v>3.49</v>
      </c>
      <c r="M19" s="1">
        <f t="shared" si="14"/>
        <v>1.7450000000000001</v>
      </c>
      <c r="N19">
        <v>0.25</v>
      </c>
      <c r="O19" s="1">
        <f t="shared" si="15"/>
        <v>1.1975</v>
      </c>
      <c r="P19" s="1">
        <f t="shared" si="16"/>
        <v>0</v>
      </c>
      <c r="Q19" s="1">
        <f t="shared" si="17"/>
        <v>0.94740960399999996</v>
      </c>
      <c r="R19" s="1">
        <f t="shared" si="18"/>
        <v>0.64777118800000033</v>
      </c>
      <c r="S19" s="2">
        <f t="shared" si="19"/>
        <v>0.64777118800000033</v>
      </c>
      <c r="T19" s="2">
        <f t="shared" si="20"/>
        <v>0.18560779025787974</v>
      </c>
    </row>
    <row r="20" spans="1:20" x14ac:dyDescent="0.25">
      <c r="A20">
        <v>246</v>
      </c>
      <c r="B20" t="s">
        <v>32</v>
      </c>
      <c r="C20" t="s">
        <v>28</v>
      </c>
      <c r="D20">
        <v>7340</v>
      </c>
      <c r="E20">
        <v>4.79</v>
      </c>
      <c r="F20" s="1">
        <v>3.7875217980000002</v>
      </c>
      <c r="G20" t="s">
        <v>41</v>
      </c>
      <c r="H20" t="s">
        <v>13</v>
      </c>
      <c r="I20" t="s">
        <v>14</v>
      </c>
      <c r="J20" t="s">
        <v>15</v>
      </c>
      <c r="K20" t="s">
        <v>36</v>
      </c>
      <c r="L20">
        <v>3.49</v>
      </c>
      <c r="M20" s="1">
        <f t="shared" si="14"/>
        <v>1.7450000000000001</v>
      </c>
      <c r="N20">
        <v>0.25</v>
      </c>
      <c r="O20" s="1">
        <f t="shared" si="15"/>
        <v>1.1975</v>
      </c>
      <c r="P20" s="1">
        <f t="shared" si="16"/>
        <v>0</v>
      </c>
      <c r="Q20" s="1">
        <f t="shared" si="17"/>
        <v>0.94688044950000005</v>
      </c>
      <c r="R20" s="1">
        <f t="shared" si="18"/>
        <v>0.64935865150000005</v>
      </c>
      <c r="S20" s="2">
        <f t="shared" si="19"/>
        <v>0.64935865150000005</v>
      </c>
      <c r="T20" s="2">
        <f t="shared" si="20"/>
        <v>0.18606265085959886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F817-C569-457E-BC0B-5A04D1B41711}">
  <dimension ref="A1:A17"/>
  <sheetViews>
    <sheetView workbookViewId="0">
      <selection activeCell="A11" sqref="A11"/>
    </sheetView>
  </sheetViews>
  <sheetFormatPr defaultRowHeight="15.75" x14ac:dyDescent="0.25"/>
  <cols>
    <col min="1" max="1" width="20.625" bestFit="1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s="1" t="s">
        <v>51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42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s="1" t="s">
        <v>48</v>
      </c>
    </row>
    <row r="13" spans="1:1" x14ac:dyDescent="0.25">
      <c r="A13" s="1" t="s">
        <v>50</v>
      </c>
    </row>
    <row r="14" spans="1:1" x14ac:dyDescent="0.25">
      <c r="A14" s="1" t="s">
        <v>49</v>
      </c>
    </row>
    <row r="15" spans="1:1" x14ac:dyDescent="0.25">
      <c r="A15" s="1" t="s">
        <v>43</v>
      </c>
    </row>
    <row r="16" spans="1:1" x14ac:dyDescent="0.25">
      <c r="A16" s="1" t="s">
        <v>44</v>
      </c>
    </row>
    <row r="17" spans="1:1" x14ac:dyDescent="0.25">
      <c r="A17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Raw_Input_Data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Bhasin</dc:creator>
  <cp:lastModifiedBy>Gaurav Bhasin</cp:lastModifiedBy>
  <dcterms:created xsi:type="dcterms:W3CDTF">2024-09-17T17:08:39Z</dcterms:created>
  <dcterms:modified xsi:type="dcterms:W3CDTF">2025-07-07T23:58:52Z</dcterms:modified>
</cp:coreProperties>
</file>